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aio\Documents\Hunt Analyzer\"/>
    </mc:Choice>
  </mc:AlternateContent>
  <xr:revisionPtr revIDLastSave="0" documentId="13_ncr:1_{65C2DDA9-7CF1-4B6B-89A5-A54E005FB586}" xr6:coauthVersionLast="47" xr6:coauthVersionMax="47" xr10:uidLastSave="{00000000-0000-0000-0000-000000000000}"/>
  <bookViews>
    <workbookView xWindow="-120" yWindow="-120" windowWidth="38640" windowHeight="16440" xr2:uid="{7FE65191-E137-4290-B275-FA67FAD03745}"/>
  </bookViews>
  <sheets>
    <sheet name="Main" sheetId="3" r:id="rId1"/>
    <sheet name="Historico" sheetId="1" r:id="rId2"/>
    <sheet name="Skill" sheetId="4" r:id="rId3"/>
    <sheet name="Control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6" i="1" l="1"/>
  <c r="T6" i="1" s="1"/>
  <c r="S6" i="1"/>
  <c r="O16" i="3"/>
  <c r="J4" i="4"/>
  <c r="J6" i="4" s="1"/>
  <c r="Q6" i="3"/>
  <c r="O11" i="3"/>
  <c r="O12" i="3"/>
  <c r="O13" i="3"/>
  <c r="O14" i="3"/>
  <c r="O15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M4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1" i="3"/>
  <c r="U6" i="1" l="1"/>
  <c r="Q6" i="4"/>
  <c r="O33" i="3"/>
  <c r="J33" i="3"/>
  <c r="E33" i="3"/>
</calcChain>
</file>

<file path=xl/sharedStrings.xml><?xml version="1.0" encoding="utf-8"?>
<sst xmlns="http://schemas.openxmlformats.org/spreadsheetml/2006/main" count="171" uniqueCount="152">
  <si>
    <t>Hunt</t>
  </si>
  <si>
    <t>Tempo</t>
  </si>
  <si>
    <t>Prey</t>
  </si>
  <si>
    <t>Loot</t>
  </si>
  <si>
    <t>Valor</t>
  </si>
  <si>
    <t>Total</t>
  </si>
  <si>
    <t>Sim</t>
  </si>
  <si>
    <t>Não</t>
  </si>
  <si>
    <t>Média gold/h</t>
  </si>
  <si>
    <t>Level</t>
  </si>
  <si>
    <t>Média gold/h sem prey</t>
  </si>
  <si>
    <t xml:space="preserve">Arrow </t>
  </si>
  <si>
    <t xml:space="preserve">Bolt </t>
  </si>
  <si>
    <t xml:space="preserve">Crystalline Arrow </t>
  </si>
  <si>
    <t xml:space="preserve">Drill Bolt </t>
  </si>
  <si>
    <t xml:space="preserve">Earth Arrow </t>
  </si>
  <si>
    <t xml:space="preserve">Envenomed Arrow </t>
  </si>
  <si>
    <t xml:space="preserve">Flaming Arrow </t>
  </si>
  <si>
    <t xml:space="preserve">Flash Arrow </t>
  </si>
  <si>
    <t xml:space="preserve">Onyx Arrow </t>
  </si>
  <si>
    <t xml:space="preserve">Piercing Bolt </t>
  </si>
  <si>
    <t xml:space="preserve">Power Bolt </t>
  </si>
  <si>
    <t xml:space="preserve">Prismatic Bolt </t>
  </si>
  <si>
    <t xml:space="preserve">Shiver Arrow </t>
  </si>
  <si>
    <t xml:space="preserve">Sniper Arrow </t>
  </si>
  <si>
    <t xml:space="preserve">Tarsal Arrow </t>
  </si>
  <si>
    <t xml:space="preserve">Vortex Bolt </t>
  </si>
  <si>
    <t>Opções</t>
  </si>
  <si>
    <t>Qtd</t>
  </si>
  <si>
    <t>Avalanche Rune</t>
  </si>
  <si>
    <t>Blank Rune</t>
  </si>
  <si>
    <t>Chameleon Rune</t>
  </si>
  <si>
    <t>Convince Creature Rune</t>
  </si>
  <si>
    <t>Cure Poison Rune</t>
  </si>
  <si>
    <t>Destroy Field Rune</t>
  </si>
  <si>
    <t>Energy Field Rune</t>
  </si>
  <si>
    <t>Energy Wall Rune</t>
  </si>
  <si>
    <t>Explosion Rune</t>
  </si>
  <si>
    <t>Fire Bomb Rune</t>
  </si>
  <si>
    <t>Fire Field Rune</t>
  </si>
  <si>
    <t>Fire Wall Rune</t>
  </si>
  <si>
    <t>Great Fireball Rune</t>
  </si>
  <si>
    <t>Great Health Potion</t>
  </si>
  <si>
    <t>Great Mana Potion</t>
  </si>
  <si>
    <t>Great Spirit Potion</t>
  </si>
  <si>
    <t>Health Potion</t>
  </si>
  <si>
    <t>Heavy Magic Missile Rune</t>
  </si>
  <si>
    <t>Intense Healing Rune</t>
  </si>
  <si>
    <t>Light Magic Missile Rune</t>
  </si>
  <si>
    <t>Mana Potion</t>
  </si>
  <si>
    <t>Poison Field Rune</t>
  </si>
  <si>
    <t>Poison Wall Rune</t>
  </si>
  <si>
    <t>Stalagmite Rune</t>
  </si>
  <si>
    <t>Strong Health Potion</t>
  </si>
  <si>
    <t>Strong Mana Potion</t>
  </si>
  <si>
    <t>Sudden Death Rune</t>
  </si>
  <si>
    <t>Supreme Health Potion</t>
  </si>
  <si>
    <t>Ultimate Health Potion</t>
  </si>
  <si>
    <t>Ultimate Healing Rune</t>
  </si>
  <si>
    <t>Ultimate Mana Potion</t>
  </si>
  <si>
    <t>Ultimate Spirit Potion</t>
  </si>
  <si>
    <t>Suprimentos</t>
  </si>
  <si>
    <t>Cálculo de suprimentos</t>
  </si>
  <si>
    <t>Item</t>
  </si>
  <si>
    <t>Valor total</t>
  </si>
  <si>
    <t>Data</t>
  </si>
  <si>
    <t>Cálculo de loot</t>
  </si>
  <si>
    <t>Valor Mkt</t>
  </si>
  <si>
    <t>Bruto</t>
  </si>
  <si>
    <t>Nível</t>
  </si>
  <si>
    <t>Skill</t>
  </si>
  <si>
    <t>Início</t>
  </si>
  <si>
    <t>Final</t>
  </si>
  <si>
    <t>% Prey</t>
  </si>
  <si>
    <t>Duração</t>
  </si>
  <si>
    <t>Histórico</t>
  </si>
  <si>
    <t>Hunts</t>
  </si>
  <si>
    <t>Anéis / Colares</t>
  </si>
  <si>
    <t>Axe Ring</t>
  </si>
  <si>
    <t>Club Ring</t>
  </si>
  <si>
    <t>Death Ring</t>
  </si>
  <si>
    <t>Dwarven Ring</t>
  </si>
  <si>
    <t>Energy Ring</t>
  </si>
  <si>
    <t>Life Ring</t>
  </si>
  <si>
    <t>Might Ring</t>
  </si>
  <si>
    <t>Power Ring</t>
  </si>
  <si>
    <t>Ring of Healing</t>
  </si>
  <si>
    <t>Shapeshifter Ring</t>
  </si>
  <si>
    <t>Star Ring</t>
  </si>
  <si>
    <t>Stealth Ring</t>
  </si>
  <si>
    <t>Sword Ring</t>
  </si>
  <si>
    <t>Time Ring</t>
  </si>
  <si>
    <t>Ring of Blue Plasma</t>
  </si>
  <si>
    <t>Ring of Green Plasma</t>
  </si>
  <si>
    <t>Ring of Orange Plasma</t>
  </si>
  <si>
    <t>Ring of Red Plasma</t>
  </si>
  <si>
    <t>Ring of Temptation</t>
  </si>
  <si>
    <t>Prismatic Ring</t>
  </si>
  <si>
    <t>Enchanted Ring of Souls</t>
  </si>
  <si>
    <t>Enchanted Blister Ring</t>
  </si>
  <si>
    <t>Charged Alicorn Ring</t>
  </si>
  <si>
    <t>Charged Arboreal Ring</t>
  </si>
  <si>
    <t>Charged Arcanomancer Sigil</t>
  </si>
  <si>
    <t>Charged Ethereal Ring</t>
  </si>
  <si>
    <t>Charged Spiritthorn Ring</t>
  </si>
  <si>
    <t>Anéis e Colares</t>
  </si>
  <si>
    <t>Bronze Amulet</t>
  </si>
  <si>
    <t>Dragon Necklace</t>
  </si>
  <si>
    <t>Elven Amulet</t>
  </si>
  <si>
    <t>Enchanted Werewolf Amulet</t>
  </si>
  <si>
    <t>Garlic Necklace</t>
  </si>
  <si>
    <t>Greater Garlic Necklace</t>
  </si>
  <si>
    <t>Protection Amulet</t>
  </si>
  <si>
    <t>Silver Amulet</t>
  </si>
  <si>
    <t>Stone Skin Amulet</t>
  </si>
  <si>
    <t>Strange Talisman</t>
  </si>
  <si>
    <t>Glacier Amulet</t>
  </si>
  <si>
    <t>Lightning Pendant</t>
  </si>
  <si>
    <t>Magma Amulet</t>
  </si>
  <si>
    <t>Terra Amulet</t>
  </si>
  <si>
    <t>Glooth Amulet</t>
  </si>
  <si>
    <t>Bonfire Amulet</t>
  </si>
  <si>
    <t>Leviathan's Amulet</t>
  </si>
  <si>
    <t>Sacred Tree Amulet</t>
  </si>
  <si>
    <t>Shockwave Amulet</t>
  </si>
  <si>
    <t>Necklace of the Deep</t>
  </si>
  <si>
    <t>Collar of Blue Plasma</t>
  </si>
  <si>
    <t>Collar of Green Plasma</t>
  </si>
  <si>
    <t>Collar of Orange Plasma</t>
  </si>
  <si>
    <t>Collar of Red Plasma</t>
  </si>
  <si>
    <t>Gill Necklace</t>
  </si>
  <si>
    <t>Prismatic Necklace</t>
  </si>
  <si>
    <t>Enchanted Pendulet</t>
  </si>
  <si>
    <t>Enchanted Sleep Shawl</t>
  </si>
  <si>
    <t>Enchanted Turtle Amulet</t>
  </si>
  <si>
    <t>Candy Necklace</t>
  </si>
  <si>
    <t>Enchanted Merudri Brooch</t>
  </si>
  <si>
    <t>Enchanted Theurgic Amulet</t>
  </si>
  <si>
    <t>Rainbow Necklace</t>
  </si>
  <si>
    <t>Lion Amulet</t>
  </si>
  <si>
    <t>The Cobra Amulet</t>
  </si>
  <si>
    <t>Inserir Hunt Atual</t>
  </si>
  <si>
    <t>Adicionar Nova Hunt</t>
  </si>
  <si>
    <t>Tempo treinando</t>
  </si>
  <si>
    <t>% Skill Início</t>
  </si>
  <si>
    <t>% Skill Fim</t>
  </si>
  <si>
    <t>Tempo para o próximo nível</t>
  </si>
  <si>
    <t>Qtd farms</t>
  </si>
  <si>
    <t>Profit Total</t>
  </si>
  <si>
    <t>Média Profit/h (sem prey)</t>
  </si>
  <si>
    <t>Maior Profit/h</t>
  </si>
  <si>
    <t>Profit por Hunt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</si>
</sst>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\ &quot;gp&quot;_-;\-* #,##0\ &quot;gp&quot;_-;_-* &quot;-&quot;\ &quot;gp&quot;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2" xfId="0" applyFill="1" applyBorder="1"/>
    <xf numFmtId="0" fontId="3" fillId="3" borderId="0" xfId="0" applyFont="1" applyFill="1" applyAlignment="1">
      <alignment horizontal="center" vertical="center"/>
    </xf>
    <xf numFmtId="9" fontId="0" fillId="0" borderId="0" xfId="1" applyFont="1"/>
    <xf numFmtId="164" fontId="0" fillId="0" borderId="0" xfId="0" applyNumberFormat="1" applyAlignment="1">
      <alignment horizontal="center" vertical="center"/>
    </xf>
    <xf numFmtId="164" fontId="0" fillId="0" borderId="6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20" fontId="0" fillId="0" borderId="7" xfId="0" applyNumberFormat="1" applyFont="1" applyBorder="1" applyAlignment="1">
      <alignment horizontal="center" vertical="center"/>
    </xf>
    <xf numFmtId="9" fontId="0" fillId="0" borderId="7" xfId="0" applyNumberFormat="1" applyFont="1" applyBorder="1" applyAlignment="1">
      <alignment horizontal="center" vertical="center"/>
    </xf>
    <xf numFmtId="9" fontId="0" fillId="0" borderId="0" xfId="0" applyNumberFormat="1"/>
    <xf numFmtId="19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20" fontId="0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6" xfId="0" applyBorder="1"/>
    <xf numFmtId="0" fontId="3" fillId="3" borderId="0" xfId="0" applyFont="1" applyFill="1" applyBorder="1" applyAlignment="1">
      <alignment horizontal="center" vertical="center"/>
    </xf>
    <xf numFmtId="10" fontId="0" fillId="0" borderId="0" xfId="1" applyNumberFormat="1" applyFont="1"/>
    <xf numFmtId="0" fontId="0" fillId="3" borderId="0" xfId="0" applyFill="1"/>
    <xf numFmtId="10" fontId="0" fillId="0" borderId="0" xfId="0" applyNumberFormat="1"/>
    <xf numFmtId="20" fontId="0" fillId="0" borderId="0" xfId="0" applyNumberFormat="1"/>
    <xf numFmtId="2" fontId="0" fillId="0" borderId="0" xfId="0" applyNumberFormat="1"/>
    <xf numFmtId="164" fontId="0" fillId="0" borderId="0" xfId="0" applyNumberFormat="1"/>
    <xf numFmtId="10" fontId="0" fillId="0" borderId="7" xfId="1" applyNumberFormat="1" applyFont="1" applyBorder="1" applyAlignment="1">
      <alignment horizontal="center" vertical="center"/>
    </xf>
    <xf numFmtId="164" fontId="0" fillId="0" borderId="6" xfId="0" applyNumberFormat="1" applyBorder="1"/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45">
    <dxf>
      <fill>
        <patternFill>
          <bgColor theme="9" tint="0.39994506668294322"/>
        </patternFill>
      </fill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numFmt numFmtId="164" formatCode="_-* #,##0\ &quot;gp&quot;_-;\-* #,##0\ &quot;gp&quot;_-;_-* &quot;-&quot;\ &quot;gp&quot;_-;_-@_-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border outline="0">
        <left style="thin">
          <color auto="1"/>
        </left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13" formatCode="0%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5" formatCode="hh:mm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kill!D4"/><Relationship Id="rId1" Type="http://schemas.openxmlformats.org/officeDocument/2006/relationships/hyperlink" Target="#Historico!C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kill!D4"/><Relationship Id="rId1" Type="http://schemas.openxmlformats.org/officeDocument/2006/relationships/hyperlink" Target="#Main!J4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istorico!C4"/><Relationship Id="rId1" Type="http://schemas.openxmlformats.org/officeDocument/2006/relationships/hyperlink" Target="#Main!J4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3" name="Retângulo 2">
          <a:extLst>
            <a:ext uri="{FF2B5EF4-FFF2-40B4-BE49-F238E27FC236}">
              <a16:creationId xmlns:a16="http://schemas.microsoft.com/office/drawing/2014/main" id="{6A492BD1-10EF-6C40-2848-97195312E1D4}"/>
            </a:ext>
          </a:extLst>
        </xdr:cNvPr>
        <xdr:cNvSpPr/>
      </xdr:nvSpPr>
      <xdr:spPr>
        <a:xfrm>
          <a:off x="1217341" y="580792"/>
          <a:ext cx="1519354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4" name="Retângulo 3">
          <a:extLst>
            <a:ext uri="{FF2B5EF4-FFF2-40B4-BE49-F238E27FC236}">
              <a16:creationId xmlns:a16="http://schemas.microsoft.com/office/drawing/2014/main" id="{DC3A4AF9-4AD5-F4DE-2A20-14F681D57A04}"/>
            </a:ext>
          </a:extLst>
        </xdr:cNvPr>
        <xdr:cNvSpPr/>
      </xdr:nvSpPr>
      <xdr:spPr>
        <a:xfrm>
          <a:off x="5805921" y="5801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1434830</xdr:colOff>
      <xdr:row>5</xdr:row>
      <xdr:rowOff>0</xdr:rowOff>
    </xdr:from>
    <xdr:to>
      <xdr:col>15</xdr:col>
      <xdr:colOff>0</xdr:colOff>
      <xdr:row>6</xdr:row>
      <xdr:rowOff>0</xdr:rowOff>
    </xdr:to>
    <xdr:sp macro="[0]!InserirSuprimentosEDrops" textlink="">
      <xdr:nvSpPr>
        <xdr:cNvPr id="5" name="Retângulo 4">
          <a:extLst>
            <a:ext uri="{FF2B5EF4-FFF2-40B4-BE49-F238E27FC236}">
              <a16:creationId xmlns:a16="http://schemas.microsoft.com/office/drawing/2014/main" id="{E2AAF4F1-877F-6742-37E2-37C99BDE0FD7}"/>
            </a:ext>
          </a:extLst>
        </xdr:cNvPr>
        <xdr:cNvSpPr/>
      </xdr:nvSpPr>
      <xdr:spPr>
        <a:xfrm>
          <a:off x="19593128" y="1524000"/>
          <a:ext cx="1463202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203</xdr:colOff>
      <xdr:row>3</xdr:row>
      <xdr:rowOff>0</xdr:rowOff>
    </xdr:from>
    <xdr:to>
      <xdr:col>15</xdr:col>
      <xdr:colOff>3648</xdr:colOff>
      <xdr:row>4</xdr:row>
      <xdr:rowOff>0</xdr:rowOff>
    </xdr:to>
    <xdr:sp macro="[0]!AdicionarHuntNova" textlink="">
      <xdr:nvSpPr>
        <xdr:cNvPr id="6" name="Retângulo 5">
          <a:extLst>
            <a:ext uri="{FF2B5EF4-FFF2-40B4-BE49-F238E27FC236}">
              <a16:creationId xmlns:a16="http://schemas.microsoft.com/office/drawing/2014/main" id="{CA4F23B7-F43A-41D5-A8CC-548E58DD6B1B}"/>
            </a:ext>
          </a:extLst>
        </xdr:cNvPr>
        <xdr:cNvSpPr/>
      </xdr:nvSpPr>
      <xdr:spPr>
        <a:xfrm>
          <a:off x="19602653" y="1143000"/>
          <a:ext cx="1460770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1419225</xdr:colOff>
      <xdr:row>0</xdr:row>
      <xdr:rowOff>1</xdr:rowOff>
    </xdr:from>
    <xdr:to>
      <xdr:col>15</xdr:col>
      <xdr:colOff>0</xdr:colOff>
      <xdr:row>0</xdr:row>
      <xdr:rowOff>742951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2EED8B-64C2-A005-11FD-B5366C06F74C}"/>
            </a:ext>
          </a:extLst>
        </xdr:cNvPr>
        <xdr:cNvSpPr/>
      </xdr:nvSpPr>
      <xdr:spPr>
        <a:xfrm>
          <a:off x="19583400" y="1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Histórico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12</xdr:col>
      <xdr:colOff>1066800</xdr:colOff>
      <xdr:row>0</xdr:row>
      <xdr:rowOff>0</xdr:rowOff>
    </xdr:from>
    <xdr:to>
      <xdr:col>13</xdr:col>
      <xdr:colOff>1047750</xdr:colOff>
      <xdr:row>0</xdr:row>
      <xdr:rowOff>742950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A3D8EE-C2EA-4A48-8661-68F0F087A8BA}"/>
            </a:ext>
          </a:extLst>
        </xdr:cNvPr>
        <xdr:cNvSpPr/>
      </xdr:nvSpPr>
      <xdr:spPr>
        <a:xfrm>
          <a:off x="177355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Skill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714375</xdr:colOff>
      <xdr:row>0</xdr:row>
      <xdr:rowOff>0</xdr:rowOff>
    </xdr:from>
    <xdr:to>
      <xdr:col>21</xdr:col>
      <xdr:colOff>571500</xdr:colOff>
      <xdr:row>0</xdr:row>
      <xdr:rowOff>742950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99834C-9769-4BB4-AEC8-6AD99DCB17B7}"/>
            </a:ext>
          </a:extLst>
        </xdr:cNvPr>
        <xdr:cNvSpPr/>
      </xdr:nvSpPr>
      <xdr:spPr>
        <a:xfrm>
          <a:off x="189547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Main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17</xdr:col>
      <xdr:colOff>447675</xdr:colOff>
      <xdr:row>0</xdr:row>
      <xdr:rowOff>0</xdr:rowOff>
    </xdr:from>
    <xdr:to>
      <xdr:col>19</xdr:col>
      <xdr:colOff>257175</xdr:colOff>
      <xdr:row>0</xdr:row>
      <xdr:rowOff>742950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BF1159-0322-4CB7-89D4-C1BA9BB684F4}"/>
            </a:ext>
          </a:extLst>
        </xdr:cNvPr>
        <xdr:cNvSpPr/>
      </xdr:nvSpPr>
      <xdr:spPr>
        <a:xfrm>
          <a:off x="17021175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Skill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2" name="Retângulo 1">
          <a:extLst>
            <a:ext uri="{FF2B5EF4-FFF2-40B4-BE49-F238E27FC236}">
              <a16:creationId xmlns:a16="http://schemas.microsoft.com/office/drawing/2014/main" id="{252D89C2-1069-4C49-BF2C-DF2F01C1EAD8}"/>
            </a:ext>
          </a:extLst>
        </xdr:cNvPr>
        <xdr:cNvSpPr/>
      </xdr:nvSpPr>
      <xdr:spPr>
        <a:xfrm>
          <a:off x="1218270" y="1533292"/>
          <a:ext cx="1748651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3" name="Retângulo 2">
          <a:extLst>
            <a:ext uri="{FF2B5EF4-FFF2-40B4-BE49-F238E27FC236}">
              <a16:creationId xmlns:a16="http://schemas.microsoft.com/office/drawing/2014/main" id="{DFB21139-AFE8-495B-97A7-CEEA837583D5}"/>
            </a:ext>
          </a:extLst>
        </xdr:cNvPr>
        <xdr:cNvSpPr/>
      </xdr:nvSpPr>
      <xdr:spPr>
        <a:xfrm>
          <a:off x="6032789" y="15326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1457325</xdr:colOff>
      <xdr:row>0</xdr:row>
      <xdr:rowOff>0</xdr:rowOff>
    </xdr:from>
    <xdr:to>
      <xdr:col>14</xdr:col>
      <xdr:colOff>0</xdr:colOff>
      <xdr:row>0</xdr:row>
      <xdr:rowOff>742950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751E7-D070-44D8-A1C6-FFF1F0F929AD}"/>
            </a:ext>
          </a:extLst>
        </xdr:cNvPr>
        <xdr:cNvSpPr/>
      </xdr:nvSpPr>
      <xdr:spPr>
        <a:xfrm>
          <a:off x="185356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Main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11</xdr:col>
      <xdr:colOff>1362075</xdr:colOff>
      <xdr:row>0</xdr:row>
      <xdr:rowOff>0</xdr:rowOff>
    </xdr:from>
    <xdr:to>
      <xdr:col>12</xdr:col>
      <xdr:colOff>1123950</xdr:colOff>
      <xdr:row>0</xdr:row>
      <xdr:rowOff>742950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BFE76D-501F-4888-959B-DE88B288A6E2}"/>
            </a:ext>
          </a:extLst>
        </xdr:cNvPr>
        <xdr:cNvSpPr/>
      </xdr:nvSpPr>
      <xdr:spPr>
        <a:xfrm>
          <a:off x="1672590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Histórico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27D246-192E-4099-8923-F8F761C66888}" name="Tabela3" displayName="Tabela3" ref="C10:E32" totalsRowShown="0" headerRowDxfId="44">
  <tableColumns count="3">
    <tableColumn id="1" xr3:uid="{70C08152-01F5-4088-80FA-E49F61F920E0}" name="Item"/>
    <tableColumn id="2" xr3:uid="{3F2545A6-2181-4B5F-AB96-CAC301212CE4}" name="Qtd" dataDxfId="43"/>
    <tableColumn id="3" xr3:uid="{DE6325B4-E861-477E-83BF-C19A28998571}" name="Valor total" dataDxfId="42">
      <calculatedColumnFormula>IF(Tabela3[[#This Row],[Item]] &lt;&gt; "", (VLOOKUP(Tabela3[[#This Row],[Item]],Controle!$D$2:$E$49,2,FALSE)) * Tabela3[[#This Row],[Qtd]], 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0EFF88-6285-4AC8-9C05-24C87A772465}" name="Tabela2" displayName="Tabela2" ref="G10:J32" totalsRowShown="0" headerRowDxfId="41">
  <tableColumns count="4">
    <tableColumn id="1" xr3:uid="{E83CD218-2E32-48C6-BA56-53098106892F}" name="Item"/>
    <tableColumn id="2" xr3:uid="{CB175827-F090-4191-AFEC-45A1D492B395}" name="Qtd"/>
    <tableColumn id="3" xr3:uid="{15099FCC-8C66-4914-99AA-1B3232A9C34B}" name="Valor Mkt" dataDxfId="40"/>
    <tableColumn id="4" xr3:uid="{F7D5EAA0-4B72-4048-B80C-DFC14271AB16}" name="Valor total" dataDxfId="39">
      <calculatedColumnFormula>IF(AND(Tabela2[[#This Row],[Qtd]] &lt;&gt; "",Tabela2[[#This Row],[Valor Mkt]]&lt;&gt; ""),Tabela2[[#This Row],[Qtd]]*Tabela2[[#This Row],[Valor Mkt]],"")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FF6BE1-4E20-453E-B1CF-EF16C1401523}" name="Tabela4" displayName="Tabela4" ref="L10:O32" totalsRowShown="0" headerRowDxfId="38">
  <tableColumns count="4">
    <tableColumn id="1" xr3:uid="{0F8B2264-18DE-45BF-B799-3652CF03C82E}" name="Item"/>
    <tableColumn id="2" xr3:uid="{B76C7868-A267-4DF5-BAB2-8A63209DB11D}" name="Qtd" dataDxfId="37"/>
    <tableColumn id="3" xr3:uid="{517EC702-4963-4425-A45B-24EC03CCD39D}" name="Valor" dataDxfId="36"/>
    <tableColumn id="4" xr3:uid="{3A84351E-C59C-4CE0-9C20-41E5817331C9}" name="Valor total" dataDxfId="35">
      <calculatedColumnFormula>IF(AND(Tabela4[[#This Row],[Qtd]]&lt;&gt;"",Tabela4[[#This Row],[Valor]]&lt;&gt;""),Tabela4[[#This Row],[Qtd]]*Tabela4[[#This Row],[Valor]],"")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0779E6-CC71-4254-8837-4CB377B3832F}" name="Tabela1" displayName="Tabela1" ref="C5:M6" insertRow="1" totalsRowShown="0" headerRowDxfId="34" dataDxfId="33">
  <tableColumns count="11">
    <tableColumn id="21" xr3:uid="{215C6837-0B77-4696-BF9D-775A4875A3F6}" name="Data" dataDxfId="32"/>
    <tableColumn id="12" xr3:uid="{06E6E947-CA57-4A36-9B00-067EC8E82F20}" name="Level" dataDxfId="31"/>
    <tableColumn id="13" xr3:uid="{85B8FEFA-6866-4238-8737-01DC0490C6B2}" name="Skill" dataDxfId="30"/>
    <tableColumn id="17" xr3:uid="{3E3D2DF6-C1BC-46FD-BE97-23CD66560AEC}" name="Suprimentos" dataDxfId="29"/>
    <tableColumn id="1" xr3:uid="{983FBB53-F5CA-4EFD-9269-28CC91783C8E}" name="Hunt" dataDxfId="28"/>
    <tableColumn id="2" xr3:uid="{535CD3A1-0062-4838-85C8-4B82414BEC87}" name="Tempo" dataDxfId="27"/>
    <tableColumn id="8" xr3:uid="{ADB56AE0-7428-4FE4-99E2-9C66C8175DB7}" name="Prey" dataDxfId="26" dataCellStyle="Porcentagem"/>
    <tableColumn id="4" xr3:uid="{31A0B626-D639-414F-9764-BD3582B99EC7}" name="Bruto" dataDxfId="25"/>
    <tableColumn id="6" xr3:uid="{1914E40E-79AC-47E2-A3B0-CACF9C5FF4C9}" name="Total" dataDxfId="24">
      <calculatedColumnFormula>IF(OR(Tabela1[[#This Row],[Suprimentos]] &lt;&gt; "", Tabela1[[#This Row],[Bruto]]&lt;&gt;""),Tabela1[[#This Row],[Bruto]]-Tabela1[[#This Row],[Suprimentos]],"")</calculatedColumnFormula>
    </tableColumn>
    <tableColumn id="10" xr3:uid="{85CDC6B0-810E-4486-9E71-361D7049A513}" name="Média gold/h" dataDxfId="23">
      <calculatedColumnFormula>IFERROR(Tabela1[[#This Row],[Total]]/(Tabela1[[#This Row],[Tempo]]*24),"")</calculatedColumnFormula>
    </tableColumn>
    <tableColumn id="14" xr3:uid="{9F86EF33-BBD2-4A80-8BFC-775CF646D210}" name="Média gold/h sem prey" dataDxfId="22">
      <calculatedColumnFormula>IFERROR((Tabela1[[#This Row],[Total]]-(Tabela1[[#This Row],[Total]]*Tabela1[[#This Row],[Prey]]))/(Tabela1[[#This Row],[Tempo]]*24),"")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D12006-943E-4E70-AA33-881C444A00FE}" name="HuntsMedia" displayName="HuntsMedia" ref="Q5:U6" totalsRowShown="0" headerRowDxfId="21">
  <tableColumns count="5">
    <tableColumn id="1" xr3:uid="{EE218CD6-1DD9-4AFC-88BD-978D58B24165}" name="Hunt" dataDxfId="8"/>
    <tableColumn id="2" xr3:uid="{2878A4AD-EA24-4EFB-899E-4565838A202B}" name="Qtd farms">
      <calculatedColumnFormula>COUNTIFS(Tabela1[Hunt],HuntsMedia[[#This Row],[Hunt]])</calculatedColumnFormula>
    </tableColumn>
    <tableColumn id="3" xr3:uid="{70CF97BE-2935-478C-B829-6A11E1BD6AC3}" name="Profit Total" dataDxfId="7">
      <calculatedColumnFormula>SUMIFS(Tabela1[Total],Tabela1[Hunt],HuntsMedia[[#This Row],[Hunt]])</calculatedColumnFormula>
    </tableColumn>
    <tableColumn id="4" xr3:uid="{823A0BB3-AC8A-41B2-B860-00021477252B}" name="Média Profit/h (sem prey)" dataDxfId="6">
      <calculatedColumnFormula>IFERROR((SUMIFS(Tabela1[Média gold/h sem prey],Tabela1[Hunt],HuntsMedia[[#This Row],[Hunt]]))/HuntsMedia[[#This Row],[Qtd farms]], 0)</calculatedColumnFormula>
    </tableColumn>
    <tableColumn id="5" xr3:uid="{98DEA3AB-953F-4E69-91CA-B35B98AC6DCB}" name="Maior Profit/h" dataDxfId="20">
      <calculatedColumnFormula>IF(LARGE(HuntsMedia[Média Profit/h (sem prey)],1) = HuntsMedia[[#This Row],[Média Profit/h (sem prey)]], 1,0)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D1F485-E637-4A21-9390-0E37DF30F510}" name="Hunts" displayName="Hunts" ref="B1:B2" insertRow="1" totalsRowShown="0" headerRowDxfId="10" tableBorderDxfId="9">
  <tableColumns count="1">
    <tableColumn id="1" xr3:uid="{D4A030C1-6AE9-4519-BD4C-82B526C07144}" name="Hunt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F57BF-F708-4542-99FE-9404726DCDC3}" name="Suprimentos" displayName="Suprimentos" ref="D1:E49" totalsRowShown="0" headerRowDxfId="19">
  <tableColumns count="2">
    <tableColumn id="1" xr3:uid="{0F2AC95B-AD2B-4B2C-A66D-F3F137CB2EE1}" name="Suprimentos" dataDxfId="18"/>
    <tableColumn id="2" xr3:uid="{B6ED1556-3B2B-421C-9603-2EA5DD74AFA5}" name="Valor" dataDxfId="1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19A37-2D75-43D0-8930-B3700EC4F520}" name="Aneis_Colares" displayName="Aneis_Colares" ref="F1:F63" totalsRowShown="0" headerRowDxfId="16" tableBorderDxfId="15">
  <tableColumns count="1">
    <tableColumn id="1" xr3:uid="{B5B7D265-5ECD-4848-9049-D2AC1E0139AB}" name="Anéis / Colares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025687-DC5F-4E2F-8C61-E1257FB3DF7F}" name="Opcoes" displayName="Opcoes" ref="A1:A3" totalsRowShown="0" headerRowDxfId="14">
  <tableColumns count="1">
    <tableColumn id="1" xr3:uid="{8BC089B3-0033-4E60-806D-53727DEEF916}" name="Opções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14F53FB-F51B-4138-A44F-7043E26247D5}" name="Preys" displayName="Preys" ref="A5:A14" totalsRowShown="0" headerRowDxfId="13" tableBorderDxfId="12">
  <tableColumns count="1">
    <tableColumn id="1" xr3:uid="{FC45E0FD-65A1-4634-948C-BF6299801C1E}" name="Prey" dataDxfId="1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4011-F294-4A67-81AA-F60FFF4673E2}">
  <sheetPr codeName="Planilha3"/>
  <dimension ref="C1:Q33"/>
  <sheetViews>
    <sheetView tabSelected="1" zoomScaleNormal="100" workbookViewId="0">
      <selection activeCell="J4" sqref="J4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4.140625" customWidth="1"/>
    <col min="7" max="7" width="32.7109375" customWidth="1"/>
    <col min="8" max="8" width="17.85546875" customWidth="1"/>
    <col min="9" max="9" width="22.28515625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8" customFormat="1" ht="60" customHeight="1" x14ac:dyDescent="0.25"/>
    <row r="4" spans="3:17" x14ac:dyDescent="0.25">
      <c r="C4" s="12" t="s">
        <v>69</v>
      </c>
      <c r="D4" s="15"/>
      <c r="F4" s="12" t="s">
        <v>70</v>
      </c>
      <c r="G4" s="15"/>
      <c r="I4" s="13" t="s">
        <v>0</v>
      </c>
      <c r="J4" s="15"/>
      <c r="L4" s="13" t="s">
        <v>74</v>
      </c>
      <c r="M4" s="16">
        <f>G6-D6</f>
        <v>0</v>
      </c>
      <c r="O4" s="13" t="s">
        <v>142</v>
      </c>
    </row>
    <row r="5" spans="3:17" x14ac:dyDescent="0.25">
      <c r="D5" s="19"/>
    </row>
    <row r="6" spans="3:17" x14ac:dyDescent="0.25">
      <c r="C6" s="12" t="s">
        <v>71</v>
      </c>
      <c r="D6" s="16"/>
      <c r="F6" s="12" t="s">
        <v>72</v>
      </c>
      <c r="G6" s="16"/>
      <c r="I6" s="13" t="s">
        <v>2</v>
      </c>
      <c r="J6" s="15" t="s">
        <v>7</v>
      </c>
      <c r="L6" s="13" t="s">
        <v>73</v>
      </c>
      <c r="M6" s="17">
        <v>0</v>
      </c>
      <c r="O6" s="13" t="s">
        <v>141</v>
      </c>
      <c r="Q6" t="str">
        <f>SUBSTITUTE(J4, " ","_")</f>
        <v/>
      </c>
    </row>
    <row r="9" spans="3:17" x14ac:dyDescent="0.25">
      <c r="C9" s="35" t="s">
        <v>62</v>
      </c>
      <c r="D9" s="36"/>
      <c r="E9" s="36"/>
      <c r="G9" s="35" t="s">
        <v>66</v>
      </c>
      <c r="H9" s="36"/>
      <c r="I9" s="36"/>
      <c r="J9" s="36"/>
      <c r="L9" s="35" t="s">
        <v>105</v>
      </c>
      <c r="M9" s="36"/>
      <c r="N9" s="36"/>
      <c r="O9" s="36"/>
    </row>
    <row r="10" spans="3:17" x14ac:dyDescent="0.25">
      <c r="C10" s="1" t="s">
        <v>63</v>
      </c>
      <c r="D10" s="1" t="s">
        <v>28</v>
      </c>
      <c r="E10" s="1" t="s">
        <v>64</v>
      </c>
      <c r="G10" s="1" t="s">
        <v>63</v>
      </c>
      <c r="H10" s="1" t="s">
        <v>28</v>
      </c>
      <c r="I10" s="1" t="s">
        <v>67</v>
      </c>
      <c r="J10" s="1" t="s">
        <v>64</v>
      </c>
      <c r="L10" s="1" t="s">
        <v>63</v>
      </c>
      <c r="M10" s="1" t="s">
        <v>28</v>
      </c>
      <c r="N10" s="1" t="s">
        <v>4</v>
      </c>
      <c r="O10" s="1" t="s">
        <v>64</v>
      </c>
    </row>
    <row r="11" spans="3:17" x14ac:dyDescent="0.25">
      <c r="E11" s="10" t="str">
        <f>IF(Tabela3[[#This Row],[Item]] &lt;&gt; "", (VLOOKUP(Tabela3[[#This Row],[Item]],Controle!$D$2:$E$49,2,FALSE)) * Tabela3[[#This Row],[Qtd]], "")</f>
        <v/>
      </c>
      <c r="I11" s="10"/>
      <c r="J11" s="10" t="str">
        <f>IF(AND(Tabela2[[#This Row],[Qtd]] &lt;&gt; "",Tabela2[[#This Row],[Valor Mkt]]&lt;&gt; ""),Tabela2[[#This Row],[Qtd]]*Tabela2[[#This Row],[Valor Mkt]],"")</f>
        <v/>
      </c>
      <c r="N11" s="10"/>
      <c r="O11" s="10" t="str">
        <f>IF(AND(Tabela4[[#This Row],[Qtd]]&lt;&gt;"",Tabela4[[#This Row],[Valor]]&lt;&gt;""),Tabela4[[#This Row],[Qtd]]*Tabela4[[#This Row],[Valor]],"")</f>
        <v/>
      </c>
    </row>
    <row r="12" spans="3:17" x14ac:dyDescent="0.25">
      <c r="E12" s="10" t="str">
        <f>IF(Tabela3[[#This Row],[Item]] &lt;&gt; "", (VLOOKUP(Tabela3[[#This Row],[Item]],Controle!$D$2:$E$49,2,FALSE)) * Tabela3[[#This Row],[Qtd]], "")</f>
        <v/>
      </c>
      <c r="I12" s="10"/>
      <c r="J12" s="10" t="str">
        <f>IF(AND(Tabela2[[#This Row],[Qtd]] &lt;&gt; "",Tabela2[[#This Row],[Valor Mkt]]&lt;&gt; ""),Tabela2[[#This Row],[Qtd]]*Tabela2[[#This Row],[Valor Mkt]],"")</f>
        <v/>
      </c>
      <c r="N12" s="10"/>
      <c r="O12" s="10" t="str">
        <f>IF(AND(Tabela4[[#This Row],[Qtd]]&lt;&gt;"",Tabela4[[#This Row],[Valor]]&lt;&gt;""),Tabela4[[#This Row],[Qtd]]*Tabela4[[#This Row],[Valor]],"")</f>
        <v/>
      </c>
    </row>
    <row r="13" spans="3:17" x14ac:dyDescent="0.25">
      <c r="E13" s="10" t="str">
        <f>IF(Tabela3[[#This Row],[Item]] &lt;&gt; "", (VLOOKUP(Tabela3[[#This Row],[Item]],Controle!$D$2:$E$49,2,FALSE)) * Tabela3[[#This Row],[Qtd]], "")</f>
        <v/>
      </c>
      <c r="I13" s="10"/>
      <c r="J13" s="10" t="str">
        <f>IF(AND(Tabela2[[#This Row],[Qtd]] &lt;&gt; "",Tabela2[[#This Row],[Valor Mkt]]&lt;&gt; ""),Tabela2[[#This Row],[Qtd]]*Tabela2[[#This Row],[Valor Mkt]],"")</f>
        <v/>
      </c>
      <c r="N13" s="10"/>
      <c r="O13" s="10" t="str">
        <f>IF(AND(Tabela4[[#This Row],[Qtd]]&lt;&gt;"",Tabela4[[#This Row],[Valor]]&lt;&gt;""),Tabela4[[#This Row],[Qtd]]*Tabela4[[#This Row],[Valor]],"")</f>
        <v/>
      </c>
    </row>
    <row r="14" spans="3:17" x14ac:dyDescent="0.25">
      <c r="E14" s="10" t="str">
        <f>IF(Tabela3[[#This Row],[Item]] &lt;&gt; "", (VLOOKUP(Tabela3[[#This Row],[Item]],Controle!$D$2:$E$49,2,FALSE)) * Tabela3[[#This Row],[Qtd]], "")</f>
        <v/>
      </c>
      <c r="I14" s="10"/>
      <c r="J14" s="10" t="str">
        <f>IF(AND(Tabela2[[#This Row],[Qtd]] &lt;&gt; "",Tabela2[[#This Row],[Valor Mkt]]&lt;&gt; ""),Tabela2[[#This Row],[Qtd]]*Tabela2[[#This Row],[Valor Mkt]],"")</f>
        <v/>
      </c>
      <c r="N14" s="10"/>
      <c r="O14" s="10" t="str">
        <f>IF(AND(Tabela4[[#This Row],[Qtd]]&lt;&gt;"",Tabela4[[#This Row],[Valor]]&lt;&gt;""),Tabela4[[#This Row],[Qtd]]*Tabela4[[#This Row],[Valor]],"")</f>
        <v/>
      </c>
    </row>
    <row r="15" spans="3:17" x14ac:dyDescent="0.25">
      <c r="E15" s="10" t="str">
        <f>IF(Tabela3[[#This Row],[Item]] &lt;&gt; "", (VLOOKUP(Tabela3[[#This Row],[Item]],Controle!$D$2:$E$49,2,FALSE)) * Tabela3[[#This Row],[Qtd]], "")</f>
        <v/>
      </c>
      <c r="I15" s="10"/>
      <c r="J15" s="10" t="str">
        <f>IF(AND(Tabela2[[#This Row],[Qtd]] &lt;&gt; "",Tabela2[[#This Row],[Valor Mkt]]&lt;&gt; ""),Tabela2[[#This Row],[Qtd]]*Tabela2[[#This Row],[Valor Mkt]],"")</f>
        <v/>
      </c>
      <c r="N15" s="10"/>
      <c r="O15" s="10" t="str">
        <f>IF(AND(Tabela4[[#This Row],[Qtd]]&lt;&gt;"",Tabela4[[#This Row],[Valor]]&lt;&gt;""),Tabela4[[#This Row],[Qtd]]*Tabela4[[#This Row],[Valor]],"")</f>
        <v/>
      </c>
    </row>
    <row r="16" spans="3:17" x14ac:dyDescent="0.25">
      <c r="E16" s="10" t="str">
        <f>IF(Tabela3[[#This Row],[Item]] &lt;&gt; "", (VLOOKUP(Tabela3[[#This Row],[Item]],Controle!$D$2:$E$49,2,FALSE)) * Tabela3[[#This Row],[Qtd]], "")</f>
        <v/>
      </c>
      <c r="I16" s="10"/>
      <c r="J16" s="10" t="str">
        <f>IF(AND(Tabela2[[#This Row],[Qtd]] &lt;&gt; "",Tabela2[[#This Row],[Valor Mkt]]&lt;&gt; ""),Tabela2[[#This Row],[Qtd]]*Tabela2[[#This Row],[Valor Mkt]],"")</f>
        <v/>
      </c>
      <c r="N16" s="10"/>
      <c r="O16" s="10" t="str">
        <f>IF(AND(Tabela4[[#This Row],[Qtd]]&lt;&gt;"",Tabela4[[#This Row],[Valor]]&lt;&gt;""),Tabela4[[#This Row],[Qtd]]*Tabela4[[#This Row],[Valor]],"")</f>
        <v/>
      </c>
    </row>
    <row r="17" spans="5:15" x14ac:dyDescent="0.25">
      <c r="E17" s="10" t="str">
        <f>IF(Tabela3[[#This Row],[Item]] &lt;&gt; "", (VLOOKUP(Tabela3[[#This Row],[Item]],Controle!$D$2:$E$49,2,FALSE)) * Tabela3[[#This Row],[Qtd]], "")</f>
        <v/>
      </c>
      <c r="I17" s="10"/>
      <c r="J17" s="10" t="str">
        <f>IF(AND(Tabela2[[#This Row],[Qtd]] &lt;&gt; "",Tabela2[[#This Row],[Valor Mkt]]&lt;&gt; ""),Tabela2[[#This Row],[Qtd]]*Tabela2[[#This Row],[Valor Mkt]],"")</f>
        <v/>
      </c>
      <c r="N17" s="10"/>
      <c r="O17" s="10" t="str">
        <f>IF(AND(Tabela4[[#This Row],[Qtd]]&lt;&gt;"",Tabela4[[#This Row],[Valor]]&lt;&gt;""),Tabela4[[#This Row],[Qtd]]*Tabela4[[#This Row],[Valor]],"")</f>
        <v/>
      </c>
    </row>
    <row r="18" spans="5:15" x14ac:dyDescent="0.25">
      <c r="E18" s="10" t="str">
        <f>IF(Tabela3[[#This Row],[Item]] &lt;&gt; "", (VLOOKUP(Tabela3[[#This Row],[Item]],Controle!$D$2:$E$49,2,FALSE)) * Tabela3[[#This Row],[Qtd]], "")</f>
        <v/>
      </c>
      <c r="I18" s="10"/>
      <c r="J18" s="10" t="str">
        <f>IF(AND(Tabela2[[#This Row],[Qtd]] &lt;&gt; "",Tabela2[[#This Row],[Valor Mkt]]&lt;&gt; ""),Tabela2[[#This Row],[Qtd]]*Tabela2[[#This Row],[Valor Mkt]],"")</f>
        <v/>
      </c>
      <c r="N18" s="10"/>
      <c r="O18" s="10" t="str">
        <f>IF(AND(Tabela4[[#This Row],[Qtd]]&lt;&gt;"",Tabela4[[#This Row],[Valor]]&lt;&gt;""),Tabela4[[#This Row],[Qtd]]*Tabela4[[#This Row],[Valor]],"")</f>
        <v/>
      </c>
    </row>
    <row r="19" spans="5:15" x14ac:dyDescent="0.25">
      <c r="E19" s="10" t="str">
        <f>IF(Tabela3[[#This Row],[Item]] &lt;&gt; "", (VLOOKUP(Tabela3[[#This Row],[Item]],Controle!$D$2:$E$49,2,FALSE)) * Tabela3[[#This Row],[Qtd]], "")</f>
        <v/>
      </c>
      <c r="I19" s="10"/>
      <c r="J19" s="10" t="str">
        <f>IF(AND(Tabela2[[#This Row],[Qtd]] &lt;&gt; "",Tabela2[[#This Row],[Valor Mkt]]&lt;&gt; ""),Tabela2[[#This Row],[Qtd]]*Tabela2[[#This Row],[Valor Mkt]],"")</f>
        <v/>
      </c>
      <c r="N19" s="10"/>
      <c r="O19" s="10" t="str">
        <f>IF(AND(Tabela4[[#This Row],[Qtd]]&lt;&gt;"",Tabela4[[#This Row],[Valor]]&lt;&gt;""),Tabela4[[#This Row],[Qtd]]*Tabela4[[#This Row],[Valor]],"")</f>
        <v/>
      </c>
    </row>
    <row r="20" spans="5:15" x14ac:dyDescent="0.25">
      <c r="E20" s="10" t="str">
        <f>IF(Tabela3[[#This Row],[Item]] &lt;&gt; "", (VLOOKUP(Tabela3[[#This Row],[Item]],Controle!$D$2:$E$49,2,FALSE)) * Tabela3[[#This Row],[Qtd]], "")</f>
        <v/>
      </c>
      <c r="I20" s="10"/>
      <c r="J20" s="10" t="str">
        <f>IF(AND(Tabela2[[#This Row],[Qtd]] &lt;&gt; "",Tabela2[[#This Row],[Valor Mkt]]&lt;&gt; ""),Tabela2[[#This Row],[Qtd]]*Tabela2[[#This Row],[Valor Mkt]],"")</f>
        <v/>
      </c>
      <c r="N20" s="10"/>
      <c r="O20" s="10" t="str">
        <f>IF(AND(Tabela4[[#This Row],[Qtd]]&lt;&gt;"",Tabela4[[#This Row],[Valor]]&lt;&gt;""),Tabela4[[#This Row],[Qtd]]*Tabela4[[#This Row],[Valor]],"")</f>
        <v/>
      </c>
    </row>
    <row r="21" spans="5:15" x14ac:dyDescent="0.25">
      <c r="E21" s="10" t="str">
        <f>IF(Tabela3[[#This Row],[Item]] &lt;&gt; "", (VLOOKUP(Tabela3[[#This Row],[Item]],Controle!$D$2:$E$49,2,FALSE)) * Tabela3[[#This Row],[Qtd]], "")</f>
        <v/>
      </c>
      <c r="I21" s="10"/>
      <c r="J21" s="10" t="str">
        <f>IF(AND(Tabela2[[#This Row],[Qtd]] &lt;&gt; "",Tabela2[[#This Row],[Valor Mkt]]&lt;&gt; ""),Tabela2[[#This Row],[Qtd]]*Tabela2[[#This Row],[Valor Mkt]],"")</f>
        <v/>
      </c>
      <c r="N21" s="10"/>
      <c r="O21" s="10" t="str">
        <f>IF(AND(Tabela4[[#This Row],[Qtd]]&lt;&gt;"",Tabela4[[#This Row],[Valor]]&lt;&gt;""),Tabela4[[#This Row],[Qtd]]*Tabela4[[#This Row],[Valor]],"")</f>
        <v/>
      </c>
    </row>
    <row r="22" spans="5:15" x14ac:dyDescent="0.25">
      <c r="E22" s="10" t="str">
        <f>IF(Tabela3[[#This Row],[Item]] &lt;&gt; "", (VLOOKUP(Tabela3[[#This Row],[Item]],Controle!$D$2:$E$49,2,FALSE)) * Tabela3[[#This Row],[Qtd]], "")</f>
        <v/>
      </c>
      <c r="I22" s="10"/>
      <c r="J22" s="10" t="str">
        <f>IF(AND(Tabela2[[#This Row],[Qtd]] &lt;&gt; "",Tabela2[[#This Row],[Valor Mkt]]&lt;&gt; ""),Tabela2[[#This Row],[Qtd]]*Tabela2[[#This Row],[Valor Mkt]],"")</f>
        <v/>
      </c>
      <c r="N22" s="10"/>
      <c r="O22" s="10" t="str">
        <f>IF(AND(Tabela4[[#This Row],[Qtd]]&lt;&gt;"",Tabela4[[#This Row],[Valor]]&lt;&gt;""),Tabela4[[#This Row],[Qtd]]*Tabela4[[#This Row],[Valor]],"")</f>
        <v/>
      </c>
    </row>
    <row r="23" spans="5:15" x14ac:dyDescent="0.25">
      <c r="E23" s="10" t="str">
        <f>IF(Tabela3[[#This Row],[Item]] &lt;&gt; "", (VLOOKUP(Tabela3[[#This Row],[Item]],Controle!$D$2:$E$49,2,FALSE)) * Tabela3[[#This Row],[Qtd]], "")</f>
        <v/>
      </c>
      <c r="I23" s="10"/>
      <c r="J23" s="10" t="str">
        <f>IF(AND(Tabela2[[#This Row],[Qtd]] &lt;&gt; "",Tabela2[[#This Row],[Valor Mkt]]&lt;&gt; ""),Tabela2[[#This Row],[Qtd]]*Tabela2[[#This Row],[Valor Mkt]],"")</f>
        <v/>
      </c>
      <c r="N23" s="10"/>
      <c r="O23" s="10" t="str">
        <f>IF(AND(Tabela4[[#This Row],[Qtd]]&lt;&gt;"",Tabela4[[#This Row],[Valor]]&lt;&gt;""),Tabela4[[#This Row],[Qtd]]*Tabela4[[#This Row],[Valor]],"")</f>
        <v/>
      </c>
    </row>
    <row r="24" spans="5:15" x14ac:dyDescent="0.25">
      <c r="E24" s="10" t="str">
        <f>IF(Tabela3[[#This Row],[Item]] &lt;&gt; "", (VLOOKUP(Tabela3[[#This Row],[Item]],Controle!$D$2:$E$49,2,FALSE)) * Tabela3[[#This Row],[Qtd]], "")</f>
        <v/>
      </c>
      <c r="I24" s="10"/>
      <c r="J24" s="10" t="str">
        <f>IF(AND(Tabela2[[#This Row],[Qtd]] &lt;&gt; "",Tabela2[[#This Row],[Valor Mkt]]&lt;&gt; ""),Tabela2[[#This Row],[Qtd]]*Tabela2[[#This Row],[Valor Mkt]],"")</f>
        <v/>
      </c>
      <c r="N24" s="10"/>
      <c r="O24" s="10" t="str">
        <f>IF(AND(Tabela4[[#This Row],[Qtd]]&lt;&gt;"",Tabela4[[#This Row],[Valor]]&lt;&gt;""),Tabela4[[#This Row],[Qtd]]*Tabela4[[#This Row],[Valor]],"")</f>
        <v/>
      </c>
    </row>
    <row r="25" spans="5:15" x14ac:dyDescent="0.25">
      <c r="E25" s="10" t="str">
        <f>IF(Tabela3[[#This Row],[Item]] &lt;&gt; "", (VLOOKUP(Tabela3[[#This Row],[Item]],Controle!$D$2:$E$49,2,FALSE)) * Tabela3[[#This Row],[Qtd]], "")</f>
        <v/>
      </c>
      <c r="I25" s="10"/>
      <c r="J25" s="10" t="str">
        <f>IF(AND(Tabela2[[#This Row],[Qtd]] &lt;&gt; "",Tabela2[[#This Row],[Valor Mkt]]&lt;&gt; ""),Tabela2[[#This Row],[Qtd]]*Tabela2[[#This Row],[Valor Mkt]],"")</f>
        <v/>
      </c>
      <c r="N25" s="10"/>
      <c r="O25" s="10" t="str">
        <f>IF(AND(Tabela4[[#This Row],[Qtd]]&lt;&gt;"",Tabela4[[#This Row],[Valor]]&lt;&gt;""),Tabela4[[#This Row],[Qtd]]*Tabela4[[#This Row],[Valor]],"")</f>
        <v/>
      </c>
    </row>
    <row r="26" spans="5:15" x14ac:dyDescent="0.25">
      <c r="E26" s="10" t="str">
        <f>IF(Tabela3[[#This Row],[Item]] &lt;&gt; "", (VLOOKUP(Tabela3[[#This Row],[Item]],Controle!$D$2:$E$49,2,FALSE)) * Tabela3[[#This Row],[Qtd]], "")</f>
        <v/>
      </c>
      <c r="I26" s="10"/>
      <c r="J26" s="10" t="str">
        <f>IF(AND(Tabela2[[#This Row],[Qtd]] &lt;&gt; "",Tabela2[[#This Row],[Valor Mkt]]&lt;&gt; ""),Tabela2[[#This Row],[Qtd]]*Tabela2[[#This Row],[Valor Mkt]],"")</f>
        <v/>
      </c>
      <c r="N26" s="10"/>
      <c r="O26" s="10" t="str">
        <f>IF(AND(Tabela4[[#This Row],[Qtd]]&lt;&gt;"",Tabela4[[#This Row],[Valor]]&lt;&gt;""),Tabela4[[#This Row],[Qtd]]*Tabela4[[#This Row],[Valor]],"")</f>
        <v/>
      </c>
    </row>
    <row r="27" spans="5:15" x14ac:dyDescent="0.25">
      <c r="E27" s="10" t="str">
        <f>IF(Tabela3[[#This Row],[Item]] &lt;&gt; "", (VLOOKUP(Tabela3[[#This Row],[Item]],Controle!$D$2:$E$49,2,FALSE)) * Tabela3[[#This Row],[Qtd]], "")</f>
        <v/>
      </c>
      <c r="I27" s="10"/>
      <c r="J27" s="10" t="str">
        <f>IF(AND(Tabela2[[#This Row],[Qtd]] &lt;&gt; "",Tabela2[[#This Row],[Valor Mkt]]&lt;&gt; ""),Tabela2[[#This Row],[Qtd]]*Tabela2[[#This Row],[Valor Mkt]],"")</f>
        <v/>
      </c>
      <c r="N27" s="10"/>
      <c r="O27" s="10" t="str">
        <f>IF(AND(Tabela4[[#This Row],[Qtd]]&lt;&gt;"",Tabela4[[#This Row],[Valor]]&lt;&gt;""),Tabela4[[#This Row],[Qtd]]*Tabela4[[#This Row],[Valor]],"")</f>
        <v/>
      </c>
    </row>
    <row r="28" spans="5:15" x14ac:dyDescent="0.25">
      <c r="E28" s="10" t="str">
        <f>IF(Tabela3[[#This Row],[Item]] &lt;&gt; "", (VLOOKUP(Tabela3[[#This Row],[Item]],Controle!$D$2:$E$49,2,FALSE)) * Tabela3[[#This Row],[Qtd]], "")</f>
        <v/>
      </c>
      <c r="I28" s="10"/>
      <c r="J28" s="10" t="str">
        <f>IF(AND(Tabela2[[#This Row],[Qtd]] &lt;&gt; "",Tabela2[[#This Row],[Valor Mkt]]&lt;&gt; ""),Tabela2[[#This Row],[Qtd]]*Tabela2[[#This Row],[Valor Mkt]],"")</f>
        <v/>
      </c>
      <c r="N28" s="10"/>
      <c r="O28" s="10" t="str">
        <f>IF(AND(Tabela4[[#This Row],[Qtd]]&lt;&gt;"",Tabela4[[#This Row],[Valor]]&lt;&gt;""),Tabela4[[#This Row],[Qtd]]*Tabela4[[#This Row],[Valor]],"")</f>
        <v/>
      </c>
    </row>
    <row r="29" spans="5:15" x14ac:dyDescent="0.25">
      <c r="E29" s="10" t="str">
        <f>IF(Tabela3[[#This Row],[Item]] &lt;&gt; "", (VLOOKUP(Tabela3[[#This Row],[Item]],Controle!$D$2:$E$49,2,FALSE)) * Tabela3[[#This Row],[Qtd]], "")</f>
        <v/>
      </c>
      <c r="I29" s="10"/>
      <c r="J29" s="10" t="str">
        <f>IF(AND(Tabela2[[#This Row],[Qtd]] &lt;&gt; "",Tabela2[[#This Row],[Valor Mkt]]&lt;&gt; ""),Tabela2[[#This Row],[Qtd]]*Tabela2[[#This Row],[Valor Mkt]],"")</f>
        <v/>
      </c>
      <c r="N29" s="10"/>
      <c r="O29" s="10" t="str">
        <f>IF(AND(Tabela4[[#This Row],[Qtd]]&lt;&gt;"",Tabela4[[#This Row],[Valor]]&lt;&gt;""),Tabela4[[#This Row],[Qtd]]*Tabela4[[#This Row],[Valor]],"")</f>
        <v/>
      </c>
    </row>
    <row r="30" spans="5:15" x14ac:dyDescent="0.25">
      <c r="E30" s="10" t="str">
        <f>IF(Tabela3[[#This Row],[Item]] &lt;&gt; "", (VLOOKUP(Tabela3[[#This Row],[Item]],Controle!$D$2:$E$49,2,FALSE)) * Tabela3[[#This Row],[Qtd]], "")</f>
        <v/>
      </c>
      <c r="I30" s="10"/>
      <c r="J30" s="10" t="str">
        <f>IF(AND(Tabela2[[#This Row],[Qtd]] &lt;&gt; "",Tabela2[[#This Row],[Valor Mkt]]&lt;&gt; ""),Tabela2[[#This Row],[Qtd]]*Tabela2[[#This Row],[Valor Mkt]],"")</f>
        <v/>
      </c>
      <c r="N30" s="10"/>
      <c r="O30" s="10" t="str">
        <f>IF(AND(Tabela4[[#This Row],[Qtd]]&lt;&gt;"",Tabela4[[#This Row],[Valor]]&lt;&gt;""),Tabela4[[#This Row],[Qtd]]*Tabela4[[#This Row],[Valor]],"")</f>
        <v/>
      </c>
    </row>
    <row r="31" spans="5:15" x14ac:dyDescent="0.25">
      <c r="E31" s="10" t="str">
        <f>IF(Tabela3[[#This Row],[Item]] &lt;&gt; "", (VLOOKUP(Tabela3[[#This Row],[Item]],Controle!$D$2:$E$49,2,FALSE)) * Tabela3[[#This Row],[Qtd]], "")</f>
        <v/>
      </c>
      <c r="I31" s="10"/>
      <c r="J31" s="10" t="str">
        <f>IF(AND(Tabela2[[#This Row],[Qtd]] &lt;&gt; "",Tabela2[[#This Row],[Valor Mkt]]&lt;&gt; ""),Tabela2[[#This Row],[Qtd]]*Tabela2[[#This Row],[Valor Mkt]],"")</f>
        <v/>
      </c>
      <c r="N31" s="10"/>
      <c r="O31" s="10" t="str">
        <f>IF(AND(Tabela4[[#This Row],[Qtd]]&lt;&gt;"",Tabela4[[#This Row],[Valor]]&lt;&gt;""),Tabela4[[#This Row],[Qtd]]*Tabela4[[#This Row],[Valor]],"")</f>
        <v/>
      </c>
    </row>
    <row r="32" spans="5:15" x14ac:dyDescent="0.25">
      <c r="E32" s="10" t="str">
        <f>IF(Tabela3[[#This Row],[Item]] &lt;&gt; "", (VLOOKUP(Tabela3[[#This Row],[Item]],Controle!$D$2:$E$49,2,FALSE)) * Tabela3[[#This Row],[Qtd]], "")</f>
        <v/>
      </c>
      <c r="I32" s="10"/>
      <c r="J32" s="10" t="str">
        <f>IF(AND(Tabela2[[#This Row],[Qtd]] &lt;&gt; "",Tabela2[[#This Row],[Valor Mkt]]&lt;&gt; ""),Tabela2[[#This Row],[Qtd]]*Tabela2[[#This Row],[Valor Mkt]],"")</f>
        <v/>
      </c>
      <c r="N32" s="10"/>
      <c r="O32" s="10" t="str">
        <f>IF(AND(Tabela4[[#This Row],[Qtd]]&lt;&gt;"",Tabela4[[#This Row],[Valor]]&lt;&gt;""),Tabela4[[#This Row],[Qtd]]*Tabela4[[#This Row],[Valor]],"")</f>
        <v/>
      </c>
    </row>
    <row r="33" spans="3:15" x14ac:dyDescent="0.25">
      <c r="C33" s="37" t="s">
        <v>5</v>
      </c>
      <c r="D33" s="37"/>
      <c r="E33" s="14">
        <f>SUM(Tabela3[Valor total])</f>
        <v>0</v>
      </c>
      <c r="G33" s="37" t="s">
        <v>5</v>
      </c>
      <c r="H33" s="37"/>
      <c r="I33" s="37"/>
      <c r="J33" s="14">
        <f>SUM(Tabela2[Valor total])</f>
        <v>0</v>
      </c>
      <c r="L33" s="37" t="s">
        <v>5</v>
      </c>
      <c r="M33" s="37"/>
      <c r="N33" s="37"/>
      <c r="O33" s="14">
        <f>SUM(Tabela4[Valor total])</f>
        <v>0</v>
      </c>
    </row>
  </sheetData>
  <mergeCells count="6">
    <mergeCell ref="L9:O9"/>
    <mergeCell ref="L33:N33"/>
    <mergeCell ref="C33:D33"/>
    <mergeCell ref="C9:E9"/>
    <mergeCell ref="G33:I33"/>
    <mergeCell ref="G9:J9"/>
  </mergeCells>
  <conditionalFormatting sqref="L6:M6">
    <cfRule type="expression" dxfId="5" priority="3">
      <formula>$J$6&lt;&gt;"Sim"</formula>
    </cfRule>
  </conditionalFormatting>
  <conditionalFormatting sqref="L4:M4">
    <cfRule type="expression" dxfId="4" priority="1">
      <formula>$G$6=""</formula>
    </cfRule>
    <cfRule type="expression" dxfId="3" priority="2">
      <formula>$D$6=""</formula>
    </cfRule>
  </conditionalFormatting>
  <dataValidations count="6">
    <dataValidation type="list" allowBlank="1" showInputMessage="1" showErrorMessage="1" sqref="C11:C32" xr:uid="{CAD8AF3C-E6B0-4A59-AA8E-E1E61F15C76C}">
      <formula1>INDIRECT("Suprimentos[Suprimentos]")</formula1>
    </dataValidation>
    <dataValidation type="list" allowBlank="1" showInputMessage="1" showErrorMessage="1" sqref="J4" xr:uid="{540178AA-9660-46FB-AAC1-A541D7E5BFE0}">
      <formula1>INDIRECT("Hunts")</formula1>
    </dataValidation>
    <dataValidation type="list" allowBlank="1" showInputMessage="1" showErrorMessage="1" sqref="J6" xr:uid="{69348A47-D495-4CA9-AD6A-EDD9C2DB4508}">
      <formula1>INDIRECT("Opcoes")</formula1>
    </dataValidation>
    <dataValidation type="list" allowBlank="1" showInputMessage="1" showErrorMessage="1" sqref="M6" xr:uid="{3308A622-7493-4FB2-9A51-1F60E9D779BF}">
      <formula1>INDIRECT("Preys")</formula1>
    </dataValidation>
    <dataValidation type="list" allowBlank="1" showInputMessage="1" showErrorMessage="1" sqref="L11:L32" xr:uid="{AB23F632-2193-4ACA-ABA1-9D69E7FF3CCC}">
      <formula1>INDIRECT("Aneis_Colares")</formula1>
    </dataValidation>
    <dataValidation type="list" allowBlank="1" showInputMessage="1" showErrorMessage="1" sqref="G11:G32" xr:uid="{D8B64DDE-2957-43B0-B8BA-B6301C4F2A6F}">
      <formula1>INDIRECT($Q$6)</formula1>
    </dataValidation>
  </dataValidation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0D17-D65D-4458-81DF-A71B54303D51}">
  <sheetPr codeName="Planilha1"/>
  <dimension ref="C1:U6"/>
  <sheetViews>
    <sheetView workbookViewId="0">
      <selection activeCell="C4" sqref="C4:M4"/>
    </sheetView>
  </sheetViews>
  <sheetFormatPr defaultRowHeight="15" x14ac:dyDescent="0.25"/>
  <cols>
    <col min="3" max="3" width="18.42578125" customWidth="1"/>
    <col min="6" max="6" width="14.5703125" bestFit="1" customWidth="1"/>
    <col min="7" max="7" width="37.28515625" customWidth="1"/>
    <col min="8" max="8" width="17" customWidth="1"/>
    <col min="9" max="9" width="14.7109375" customWidth="1"/>
    <col min="10" max="10" width="17.85546875" customWidth="1"/>
    <col min="11" max="11" width="16.140625" customWidth="1"/>
    <col min="12" max="12" width="17.42578125" customWidth="1"/>
    <col min="13" max="13" width="21.7109375" bestFit="1" customWidth="1"/>
    <col min="15" max="16" width="0" hidden="1" customWidth="1"/>
    <col min="17" max="17" width="27.7109375" customWidth="1"/>
    <col min="18" max="18" width="12" customWidth="1"/>
    <col min="19" max="19" width="13" customWidth="1"/>
    <col min="20" max="20" width="24.28515625" bestFit="1" customWidth="1"/>
    <col min="21" max="21" width="13.42578125" hidden="1" customWidth="1"/>
  </cols>
  <sheetData>
    <row r="1" spans="3:21" s="28" customFormat="1" ht="60" customHeight="1" x14ac:dyDescent="0.25"/>
    <row r="4" spans="3:21" x14ac:dyDescent="0.25">
      <c r="C4" s="36" t="s">
        <v>75</v>
      </c>
      <c r="D4" s="36"/>
      <c r="E4" s="36"/>
      <c r="F4" s="36"/>
      <c r="G4" s="36"/>
      <c r="H4" s="36"/>
      <c r="I4" s="36"/>
      <c r="J4" s="36"/>
      <c r="K4" s="36"/>
      <c r="L4" s="36"/>
      <c r="M4" s="36"/>
      <c r="Q4" s="35" t="s">
        <v>151</v>
      </c>
      <c r="R4" s="36"/>
      <c r="S4" s="36"/>
      <c r="T4" s="36"/>
      <c r="U4" s="36"/>
    </row>
    <row r="5" spans="3:21" x14ac:dyDescent="0.25">
      <c r="C5" s="1" t="s">
        <v>65</v>
      </c>
      <c r="D5" s="1" t="s">
        <v>9</v>
      </c>
      <c r="E5" s="1" t="s">
        <v>70</v>
      </c>
      <c r="F5" s="1" t="s">
        <v>61</v>
      </c>
      <c r="G5" s="1" t="s">
        <v>0</v>
      </c>
      <c r="H5" s="1" t="s">
        <v>1</v>
      </c>
      <c r="I5" s="1" t="s">
        <v>2</v>
      </c>
      <c r="J5" s="1" t="s">
        <v>68</v>
      </c>
      <c r="K5" s="1" t="s">
        <v>5</v>
      </c>
      <c r="L5" s="1" t="s">
        <v>8</v>
      </c>
      <c r="M5" s="1" t="s">
        <v>10</v>
      </c>
      <c r="Q5" s="1" t="s">
        <v>0</v>
      </c>
      <c r="R5" s="1" t="s">
        <v>147</v>
      </c>
      <c r="S5" s="1" t="s">
        <v>148</v>
      </c>
      <c r="T5" s="1" t="s">
        <v>149</v>
      </c>
      <c r="U5" s="1" t="s">
        <v>150</v>
      </c>
    </row>
    <row r="6" spans="3:21" x14ac:dyDescent="0.25">
      <c r="C6" s="20"/>
      <c r="D6" s="1"/>
      <c r="E6" s="1"/>
      <c r="F6" s="10"/>
      <c r="G6" s="21"/>
      <c r="H6" s="23"/>
      <c r="I6" s="22"/>
      <c r="J6" s="10"/>
      <c r="K6" s="10"/>
      <c r="L6" s="10"/>
      <c r="M6" s="10"/>
      <c r="Q6" s="2"/>
      <c r="R6">
        <f>COUNTIFS(Tabela1[Hunt],HuntsMedia[[#This Row],[Hunt]])</f>
        <v>0</v>
      </c>
      <c r="S6" s="10">
        <f>SUMIFS(Tabela1[Total],Tabela1[Hunt],HuntsMedia[[#This Row],[Hunt]])</f>
        <v>0</v>
      </c>
      <c r="T6" s="34">
        <f>IFERROR((SUMIFS(Tabela1[Média gold/h sem prey],Tabela1[Hunt],HuntsMedia[[#This Row],[Hunt]]))/HuntsMedia[[#This Row],[Qtd farms]], 0)</f>
        <v>0</v>
      </c>
      <c r="U6">
        <f>IF(LARGE(HuntsMedia[Média Profit/h (sem prey)],1) = HuntsMedia[[#This Row],[Média Profit/h (sem prey)]], 1,0)</f>
        <v>1</v>
      </c>
    </row>
  </sheetData>
  <mergeCells count="2">
    <mergeCell ref="C4:M4"/>
    <mergeCell ref="Q4:U4"/>
  </mergeCells>
  <phoneticPr fontId="4" type="noConversion"/>
  <conditionalFormatting sqref="H6">
    <cfRule type="expression" dxfId="2" priority="2">
      <formula>$G$5=""</formula>
    </cfRule>
    <cfRule type="expression" dxfId="1" priority="3">
      <formula>$D$5=""</formula>
    </cfRule>
  </conditionalFormatting>
  <conditionalFormatting sqref="T6">
    <cfRule type="expression" dxfId="0" priority="1">
      <formula>U6=1</formula>
    </cfRule>
  </conditionalFormatting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5CA6-48BA-4CB4-9A94-7D4154355B90}">
  <sheetPr codeName="Planilha4"/>
  <dimension ref="C1:Q7"/>
  <sheetViews>
    <sheetView zoomScaleNormal="100" workbookViewId="0">
      <selection activeCell="D4" sqref="D4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6.5703125" customWidth="1"/>
    <col min="7" max="7" width="32.7109375" customWidth="1"/>
    <col min="8" max="8" width="17.85546875" customWidth="1"/>
    <col min="9" max="9" width="26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8" customFormat="1" ht="60" customHeight="1" x14ac:dyDescent="0.25"/>
    <row r="4" spans="3:17" x14ac:dyDescent="0.25">
      <c r="C4" s="12" t="s">
        <v>144</v>
      </c>
      <c r="D4" s="33"/>
      <c r="F4" s="12" t="s">
        <v>145</v>
      </c>
      <c r="G4" s="33"/>
      <c r="I4" s="12" t="s">
        <v>143</v>
      </c>
      <c r="J4" s="16" t="str">
        <f>IF(AND(D6&lt;&gt;"",G6&lt;&gt;""), G6-D6, "")</f>
        <v/>
      </c>
    </row>
    <row r="5" spans="3:17" x14ac:dyDescent="0.25">
      <c r="D5" s="19"/>
    </row>
    <row r="6" spans="3:17" x14ac:dyDescent="0.25">
      <c r="C6" s="12" t="s">
        <v>71</v>
      </c>
      <c r="D6" s="16"/>
      <c r="F6" s="12" t="s">
        <v>72</v>
      </c>
      <c r="G6" s="16"/>
      <c r="I6" s="12" t="s">
        <v>146</v>
      </c>
      <c r="J6" s="16" t="str">
        <f>IFERROR(G6+(G4 / ((D4 - G4) / (J4 * 24))) / 24,"")</f>
        <v/>
      </c>
      <c r="Q6" t="str">
        <f>SUBSTITUTE(J4, " ","_")</f>
        <v/>
      </c>
    </row>
    <row r="7" spans="3:17" x14ac:dyDescent="0.25">
      <c r="J7" s="27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5CA-3D99-495A-BE4C-856B8F7FC941}">
  <sheetPr codeName="Planilha2"/>
  <dimension ref="A1:O63"/>
  <sheetViews>
    <sheetView workbookViewId="0">
      <selection activeCell="C3" sqref="C3"/>
    </sheetView>
  </sheetViews>
  <sheetFormatPr defaultRowHeight="15" x14ac:dyDescent="0.25"/>
  <cols>
    <col min="1" max="1" width="10" customWidth="1"/>
    <col min="2" max="2" width="25.7109375" style="2" bestFit="1" customWidth="1"/>
    <col min="3" max="3" width="32.85546875" style="25" customWidth="1"/>
    <col min="4" max="4" width="23.85546875" style="5" customWidth="1"/>
    <col min="5" max="5" width="10.5703125" style="6" customWidth="1"/>
    <col min="6" max="6" width="26.42578125" style="2" bestFit="1" customWidth="1"/>
    <col min="15" max="15" width="11.5703125" bestFit="1" customWidth="1"/>
  </cols>
  <sheetData>
    <row r="1" spans="1:15" x14ac:dyDescent="0.25">
      <c r="A1" s="3" t="s">
        <v>27</v>
      </c>
      <c r="B1" s="24" t="s">
        <v>76</v>
      </c>
      <c r="C1" s="4" t="s">
        <v>3</v>
      </c>
      <c r="D1" s="26" t="s">
        <v>61</v>
      </c>
      <c r="E1" s="8" t="s">
        <v>4</v>
      </c>
      <c r="F1" s="26" t="s">
        <v>77</v>
      </c>
      <c r="M1" s="27"/>
      <c r="N1" s="27"/>
      <c r="O1" s="32"/>
    </row>
    <row r="2" spans="1:15" x14ac:dyDescent="0.25">
      <c r="A2" t="s">
        <v>6</v>
      </c>
      <c r="B2" s="26"/>
      <c r="D2" s="7" t="s">
        <v>11</v>
      </c>
      <c r="E2" s="11">
        <v>3</v>
      </c>
      <c r="F2" s="6" t="s">
        <v>78</v>
      </c>
      <c r="M2" s="29"/>
      <c r="N2" s="30"/>
    </row>
    <row r="3" spans="1:15" x14ac:dyDescent="0.25">
      <c r="A3" t="s">
        <v>7</v>
      </c>
      <c r="B3" s="5"/>
      <c r="C3"/>
      <c r="D3" s="7" t="s">
        <v>12</v>
      </c>
      <c r="E3" s="11">
        <v>4</v>
      </c>
      <c r="F3" s="6" t="s">
        <v>79</v>
      </c>
      <c r="N3" s="30"/>
    </row>
    <row r="4" spans="1:15" x14ac:dyDescent="0.25">
      <c r="B4" s="5"/>
      <c r="C4"/>
      <c r="D4" s="7" t="s">
        <v>13</v>
      </c>
      <c r="E4" s="11">
        <v>20</v>
      </c>
      <c r="F4" s="6" t="s">
        <v>80</v>
      </c>
      <c r="M4" s="27"/>
      <c r="N4" s="31"/>
    </row>
    <row r="5" spans="1:15" x14ac:dyDescent="0.25">
      <c r="A5" s="8" t="s">
        <v>2</v>
      </c>
      <c r="D5" s="7" t="s">
        <v>14</v>
      </c>
      <c r="E5" s="11">
        <v>12</v>
      </c>
      <c r="F5" s="6" t="s">
        <v>81</v>
      </c>
    </row>
    <row r="6" spans="1:15" x14ac:dyDescent="0.25">
      <c r="A6" s="9">
        <v>0</v>
      </c>
      <c r="D6" s="7" t="s">
        <v>15</v>
      </c>
      <c r="E6" s="11">
        <v>5</v>
      </c>
      <c r="F6" s="6" t="s">
        <v>82</v>
      </c>
    </row>
    <row r="7" spans="1:15" x14ac:dyDescent="0.25">
      <c r="A7" s="18">
        <v>0.05</v>
      </c>
      <c r="D7" s="7" t="s">
        <v>16</v>
      </c>
      <c r="E7" s="11">
        <v>12</v>
      </c>
      <c r="F7" s="6" t="s">
        <v>83</v>
      </c>
    </row>
    <row r="8" spans="1:15" x14ac:dyDescent="0.25">
      <c r="A8" s="18">
        <v>0.1</v>
      </c>
      <c r="D8" s="7" t="s">
        <v>17</v>
      </c>
      <c r="E8" s="11">
        <v>5</v>
      </c>
      <c r="F8" s="6" t="s">
        <v>84</v>
      </c>
    </row>
    <row r="9" spans="1:15" x14ac:dyDescent="0.25">
      <c r="A9" s="18">
        <v>0.15</v>
      </c>
      <c r="D9" s="7" t="s">
        <v>18</v>
      </c>
      <c r="E9" s="11">
        <v>5</v>
      </c>
      <c r="F9" s="6" t="s">
        <v>85</v>
      </c>
    </row>
    <row r="10" spans="1:15" x14ac:dyDescent="0.25">
      <c r="A10" s="18">
        <v>0.2</v>
      </c>
      <c r="D10" s="7" t="s">
        <v>19</v>
      </c>
      <c r="E10" s="11">
        <v>7</v>
      </c>
      <c r="F10" s="6" t="s">
        <v>86</v>
      </c>
    </row>
    <row r="11" spans="1:15" x14ac:dyDescent="0.25">
      <c r="A11" s="18">
        <v>0.25</v>
      </c>
      <c r="D11" s="7" t="s">
        <v>20</v>
      </c>
      <c r="E11" s="11">
        <v>5</v>
      </c>
      <c r="F11" s="6" t="s">
        <v>87</v>
      </c>
    </row>
    <row r="12" spans="1:15" x14ac:dyDescent="0.25">
      <c r="A12" s="18">
        <v>0.3</v>
      </c>
      <c r="D12" s="7" t="s">
        <v>21</v>
      </c>
      <c r="E12" s="11">
        <v>7</v>
      </c>
      <c r="F12" s="6" t="s">
        <v>88</v>
      </c>
    </row>
    <row r="13" spans="1:15" x14ac:dyDescent="0.25">
      <c r="A13" s="18">
        <v>0.35</v>
      </c>
      <c r="D13" s="7" t="s">
        <v>22</v>
      </c>
      <c r="E13" s="11">
        <v>20</v>
      </c>
      <c r="F13" s="6" t="s">
        <v>89</v>
      </c>
    </row>
    <row r="14" spans="1:15" x14ac:dyDescent="0.25">
      <c r="A14" s="18">
        <v>0.4</v>
      </c>
      <c r="D14" s="7" t="s">
        <v>23</v>
      </c>
      <c r="E14" s="11">
        <v>5</v>
      </c>
      <c r="F14" s="6" t="s">
        <v>90</v>
      </c>
    </row>
    <row r="15" spans="1:15" x14ac:dyDescent="0.25">
      <c r="D15" s="7" t="s">
        <v>24</v>
      </c>
      <c r="E15" s="11">
        <v>5</v>
      </c>
      <c r="F15" s="6" t="s">
        <v>91</v>
      </c>
    </row>
    <row r="16" spans="1:15" x14ac:dyDescent="0.25">
      <c r="D16" s="7" t="s">
        <v>25</v>
      </c>
      <c r="E16" s="11">
        <v>6</v>
      </c>
      <c r="F16" s="6" t="s">
        <v>92</v>
      </c>
    </row>
    <row r="17" spans="4:6" x14ac:dyDescent="0.25">
      <c r="D17" s="7" t="s">
        <v>26</v>
      </c>
      <c r="E17" s="11">
        <v>6</v>
      </c>
      <c r="F17" s="6" t="s">
        <v>93</v>
      </c>
    </row>
    <row r="18" spans="4:6" x14ac:dyDescent="0.25">
      <c r="D18" s="5" t="s">
        <v>29</v>
      </c>
      <c r="E18" s="11">
        <v>64</v>
      </c>
      <c r="F18" s="6" t="s">
        <v>94</v>
      </c>
    </row>
    <row r="19" spans="4:6" x14ac:dyDescent="0.25">
      <c r="D19" s="5" t="s">
        <v>30</v>
      </c>
      <c r="E19" s="11">
        <v>10</v>
      </c>
      <c r="F19" s="6" t="s">
        <v>95</v>
      </c>
    </row>
    <row r="20" spans="4:6" x14ac:dyDescent="0.25">
      <c r="D20" s="5" t="s">
        <v>31</v>
      </c>
      <c r="E20" s="11">
        <v>210</v>
      </c>
      <c r="F20" s="6" t="s">
        <v>96</v>
      </c>
    </row>
    <row r="21" spans="4:6" x14ac:dyDescent="0.25">
      <c r="D21" s="5" t="s">
        <v>32</v>
      </c>
      <c r="E21" s="11">
        <v>80</v>
      </c>
      <c r="F21" s="6" t="s">
        <v>97</v>
      </c>
    </row>
    <row r="22" spans="4:6" x14ac:dyDescent="0.25">
      <c r="D22" s="5" t="s">
        <v>33</v>
      </c>
      <c r="E22" s="11">
        <v>65</v>
      </c>
      <c r="F22" s="6" t="s">
        <v>98</v>
      </c>
    </row>
    <row r="23" spans="4:6" x14ac:dyDescent="0.25">
      <c r="D23" s="5" t="s">
        <v>34</v>
      </c>
      <c r="E23" s="11">
        <v>15</v>
      </c>
      <c r="F23" s="6" t="s">
        <v>99</v>
      </c>
    </row>
    <row r="24" spans="4:6" x14ac:dyDescent="0.25">
      <c r="D24" s="5" t="s">
        <v>35</v>
      </c>
      <c r="E24" s="11">
        <v>38</v>
      </c>
      <c r="F24" s="6" t="s">
        <v>100</v>
      </c>
    </row>
    <row r="25" spans="4:6" x14ac:dyDescent="0.25">
      <c r="D25" s="5" t="s">
        <v>36</v>
      </c>
      <c r="E25" s="11">
        <v>85</v>
      </c>
      <c r="F25" s="6" t="s">
        <v>101</v>
      </c>
    </row>
    <row r="26" spans="4:6" x14ac:dyDescent="0.25">
      <c r="D26" s="5" t="s">
        <v>37</v>
      </c>
      <c r="E26" s="11">
        <v>31</v>
      </c>
      <c r="F26" s="6" t="s">
        <v>102</v>
      </c>
    </row>
    <row r="27" spans="4:6" x14ac:dyDescent="0.25">
      <c r="D27" s="5" t="s">
        <v>38</v>
      </c>
      <c r="E27" s="11">
        <v>147</v>
      </c>
      <c r="F27" s="6" t="s">
        <v>103</v>
      </c>
    </row>
    <row r="28" spans="4:6" x14ac:dyDescent="0.25">
      <c r="D28" s="5" t="s">
        <v>39</v>
      </c>
      <c r="E28" s="11">
        <v>28</v>
      </c>
      <c r="F28" s="6" t="s">
        <v>104</v>
      </c>
    </row>
    <row r="29" spans="4:6" x14ac:dyDescent="0.25">
      <c r="D29" s="5" t="s">
        <v>40</v>
      </c>
      <c r="E29" s="11">
        <v>61</v>
      </c>
      <c r="F29" s="6" t="s">
        <v>106</v>
      </c>
    </row>
    <row r="30" spans="4:6" x14ac:dyDescent="0.25">
      <c r="D30" s="5" t="s">
        <v>41</v>
      </c>
      <c r="E30" s="11">
        <v>64</v>
      </c>
      <c r="F30" s="6" t="s">
        <v>107</v>
      </c>
    </row>
    <row r="31" spans="4:6" x14ac:dyDescent="0.25">
      <c r="D31" s="5" t="s">
        <v>42</v>
      </c>
      <c r="E31" s="11">
        <v>225</v>
      </c>
      <c r="F31" s="6" t="s">
        <v>108</v>
      </c>
    </row>
    <row r="32" spans="4:6" x14ac:dyDescent="0.25">
      <c r="D32" s="5" t="s">
        <v>43</v>
      </c>
      <c r="E32" s="11">
        <v>158</v>
      </c>
      <c r="F32" s="6" t="s">
        <v>109</v>
      </c>
    </row>
    <row r="33" spans="4:6" x14ac:dyDescent="0.25">
      <c r="D33" s="5" t="s">
        <v>44</v>
      </c>
      <c r="E33" s="11">
        <v>254</v>
      </c>
      <c r="F33" s="6" t="s">
        <v>110</v>
      </c>
    </row>
    <row r="34" spans="4:6" x14ac:dyDescent="0.25">
      <c r="D34" s="5" t="s">
        <v>45</v>
      </c>
      <c r="E34" s="11">
        <v>50</v>
      </c>
      <c r="F34" s="6" t="s">
        <v>111</v>
      </c>
    </row>
    <row r="35" spans="4:6" x14ac:dyDescent="0.25">
      <c r="D35" s="5" t="s">
        <v>46</v>
      </c>
      <c r="E35" s="11">
        <v>12</v>
      </c>
      <c r="F35" s="6" t="s">
        <v>112</v>
      </c>
    </row>
    <row r="36" spans="4:6" x14ac:dyDescent="0.25">
      <c r="D36" s="5" t="s">
        <v>47</v>
      </c>
      <c r="E36" s="11">
        <v>95</v>
      </c>
      <c r="F36" s="6" t="s">
        <v>113</v>
      </c>
    </row>
    <row r="37" spans="4:6" x14ac:dyDescent="0.25">
      <c r="D37" s="5" t="s">
        <v>48</v>
      </c>
      <c r="E37" s="11">
        <v>4</v>
      </c>
      <c r="F37" s="6" t="s">
        <v>114</v>
      </c>
    </row>
    <row r="38" spans="4:6" x14ac:dyDescent="0.25">
      <c r="D38" s="5" t="s">
        <v>49</v>
      </c>
      <c r="E38" s="11">
        <v>56</v>
      </c>
      <c r="F38" s="6" t="s">
        <v>115</v>
      </c>
    </row>
    <row r="39" spans="4:6" x14ac:dyDescent="0.25">
      <c r="D39" s="5" t="s">
        <v>50</v>
      </c>
      <c r="E39" s="11">
        <v>21</v>
      </c>
      <c r="F39" s="6" t="s">
        <v>116</v>
      </c>
    </row>
    <row r="40" spans="4:6" x14ac:dyDescent="0.25">
      <c r="D40" s="5" t="s">
        <v>51</v>
      </c>
      <c r="E40" s="11">
        <v>52</v>
      </c>
      <c r="F40" s="6" t="s">
        <v>117</v>
      </c>
    </row>
    <row r="41" spans="4:6" x14ac:dyDescent="0.25">
      <c r="D41" s="5" t="s">
        <v>52</v>
      </c>
      <c r="E41" s="11">
        <v>12</v>
      </c>
      <c r="F41" s="6" t="s">
        <v>118</v>
      </c>
    </row>
    <row r="42" spans="4:6" x14ac:dyDescent="0.25">
      <c r="D42" s="5" t="s">
        <v>53</v>
      </c>
      <c r="E42" s="11">
        <v>115</v>
      </c>
      <c r="F42" s="6" t="s">
        <v>119</v>
      </c>
    </row>
    <row r="43" spans="4:6" x14ac:dyDescent="0.25">
      <c r="D43" s="5" t="s">
        <v>54</v>
      </c>
      <c r="E43" s="11">
        <v>108</v>
      </c>
      <c r="F43" s="6" t="s">
        <v>120</v>
      </c>
    </row>
    <row r="44" spans="4:6" x14ac:dyDescent="0.25">
      <c r="D44" s="5" t="s">
        <v>55</v>
      </c>
      <c r="E44" s="11">
        <v>162</v>
      </c>
      <c r="F44" s="6" t="s">
        <v>121</v>
      </c>
    </row>
    <row r="45" spans="4:6" x14ac:dyDescent="0.25">
      <c r="D45" s="5" t="s">
        <v>56</v>
      </c>
      <c r="E45" s="11">
        <v>650</v>
      </c>
      <c r="F45" s="6" t="s">
        <v>122</v>
      </c>
    </row>
    <row r="46" spans="4:6" x14ac:dyDescent="0.25">
      <c r="D46" s="5" t="s">
        <v>57</v>
      </c>
      <c r="E46" s="11">
        <v>379</v>
      </c>
      <c r="F46" s="6" t="s">
        <v>123</v>
      </c>
    </row>
    <row r="47" spans="4:6" x14ac:dyDescent="0.25">
      <c r="D47" s="5" t="s">
        <v>58</v>
      </c>
      <c r="E47" s="11">
        <v>175</v>
      </c>
      <c r="F47" s="6" t="s">
        <v>124</v>
      </c>
    </row>
    <row r="48" spans="4:6" x14ac:dyDescent="0.25">
      <c r="D48" s="5" t="s">
        <v>59</v>
      </c>
      <c r="E48" s="11">
        <v>488</v>
      </c>
      <c r="F48" s="6" t="s">
        <v>125</v>
      </c>
    </row>
    <row r="49" spans="4:6" x14ac:dyDescent="0.25">
      <c r="D49" s="5" t="s">
        <v>60</v>
      </c>
      <c r="E49" s="11">
        <v>488</v>
      </c>
      <c r="F49" s="6" t="s">
        <v>126</v>
      </c>
    </row>
    <row r="50" spans="4:6" x14ac:dyDescent="0.25">
      <c r="F50" s="6" t="s">
        <v>127</v>
      </c>
    </row>
    <row r="51" spans="4:6" x14ac:dyDescent="0.25">
      <c r="F51" s="6" t="s">
        <v>128</v>
      </c>
    </row>
    <row r="52" spans="4:6" x14ac:dyDescent="0.25">
      <c r="F52" s="6" t="s">
        <v>129</v>
      </c>
    </row>
    <row r="53" spans="4:6" x14ac:dyDescent="0.25">
      <c r="F53" s="6" t="s">
        <v>130</v>
      </c>
    </row>
    <row r="54" spans="4:6" x14ac:dyDescent="0.25">
      <c r="F54" s="6" t="s">
        <v>131</v>
      </c>
    </row>
    <row r="55" spans="4:6" x14ac:dyDescent="0.25">
      <c r="F55" s="6" t="s">
        <v>132</v>
      </c>
    </row>
    <row r="56" spans="4:6" x14ac:dyDescent="0.25">
      <c r="F56" s="6" t="s">
        <v>133</v>
      </c>
    </row>
    <row r="57" spans="4:6" x14ac:dyDescent="0.25">
      <c r="F57" s="6" t="s">
        <v>134</v>
      </c>
    </row>
    <row r="58" spans="4:6" x14ac:dyDescent="0.25">
      <c r="F58" s="6" t="s">
        <v>135</v>
      </c>
    </row>
    <row r="59" spans="4:6" x14ac:dyDescent="0.25">
      <c r="F59" s="6" t="s">
        <v>136</v>
      </c>
    </row>
    <row r="60" spans="4:6" x14ac:dyDescent="0.25">
      <c r="F60" s="6" t="s">
        <v>137</v>
      </c>
    </row>
    <row r="61" spans="4:6" x14ac:dyDescent="0.25">
      <c r="F61" s="6" t="s">
        <v>138</v>
      </c>
    </row>
    <row r="62" spans="4:6" x14ac:dyDescent="0.25">
      <c r="F62" s="6" t="s">
        <v>139</v>
      </c>
    </row>
    <row r="63" spans="4:6" x14ac:dyDescent="0.25">
      <c r="F63" s="6" t="s">
        <v>140</v>
      </c>
    </row>
  </sheetData>
  <pageMargins left="0.511811024" right="0.511811024" top="0.78740157499999996" bottom="0.78740157499999996" header="0.31496062000000002" footer="0.31496062000000002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Main</vt:lpstr>
      <vt:lpstr>Historico</vt:lpstr>
      <vt:lpstr>Skill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Romano</dc:creator>
  <cp:lastModifiedBy>Caio Romano</cp:lastModifiedBy>
  <dcterms:created xsi:type="dcterms:W3CDTF">2025-08-24T02:28:35Z</dcterms:created>
  <dcterms:modified xsi:type="dcterms:W3CDTF">2025-09-08T23:07:20Z</dcterms:modified>
</cp:coreProperties>
</file>